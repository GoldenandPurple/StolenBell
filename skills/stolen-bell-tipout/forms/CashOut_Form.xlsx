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h Out" sheetId="1" state="visible" r:id="rId3"/>
    <sheet name="Example (Dinner)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<sst xmlns="http://schemas.openxmlformats.org/spreadsheetml/2006/main" count="84" uniqueCount="43">
  <si>
    <t xml:space="preserve">STOLEN BELL  —  CASH OUT</t>
  </si>
  <si>
    <t xml:space="preserve">One sheet per service period. Fill the yellow cells; everything else calculates.</t>
  </si>
  <si>
    <t xml:space="preserve">Date</t>
  </si>
  <si>
    <t xml:space="preserve">Service</t>
  </si>
  <si>
    <t xml:space="preserve">Completed by</t>
  </si>
  <si>
    <t xml:space="preserve">SALES SUMMARY</t>
  </si>
  <si>
    <t xml:space="preserve">Cash Sales</t>
  </si>
  <si>
    <t xml:space="preserve">Total NET Sales</t>
  </si>
  <si>
    <t xml:space="preserve">Gross FOOD Sales</t>
  </si>
  <si>
    <t xml:space="preserve">TIPS</t>
  </si>
  <si>
    <t xml:space="preserve">Auto-gratuity</t>
  </si>
  <si>
    <t xml:space="preserve">Card Tips</t>
  </si>
  <si>
    <t xml:space="preserve">Cash Tips</t>
  </si>
  <si>
    <t xml:space="preserve">count till at 4:00 (Lunch) and at close (Dinner); enter this period's count</t>
  </si>
  <si>
    <t xml:space="preserve">Total Tips  (pool)</t>
  </si>
  <si>
    <t xml:space="preserve">TIP-OUT  (off the top)</t>
  </si>
  <si>
    <t xml:space="preserve">Kitchen — 10% of gross FOOD sales</t>
  </si>
  <si>
    <t xml:space="preserve">lump → Chef splits</t>
  </si>
  <si>
    <t xml:space="preserve">Support rate  (auto: 1.5% one, 2.25% two)</t>
  </si>
  <si>
    <t xml:space="preserve">Support total — rate × NET sales</t>
  </si>
  <si>
    <t xml:space="preserve">Name</t>
  </si>
  <si>
    <t xml:space="preserve">Hours</t>
  </si>
  <si>
    <t xml:space="preserve">Payout</t>
  </si>
  <si>
    <t xml:space="preserve">Support 1</t>
  </si>
  <si>
    <t xml:space="preserve">Support 2  (if any)</t>
  </si>
  <si>
    <t xml:space="preserve">REMAINDER — Total Tips less tip-out</t>
  </si>
  <si>
    <t xml:space="preserve">Bar &amp; Servers: split proportionately by hours worked</t>
  </si>
  <si>
    <t xml:space="preserve">BAR &amp; SERVERS</t>
  </si>
  <si>
    <t xml:space="preserve">#</t>
  </si>
  <si>
    <t xml:space="preserve">Hourly rate (ref)</t>
  </si>
  <si>
    <t xml:space="preserve">Total Hours</t>
  </si>
  <si>
    <t xml:space="preserve">CHECK</t>
  </si>
  <si>
    <t xml:space="preserve">Kitchen + Support + Bar/Servers</t>
  </si>
  <si>
    <t xml:space="preserve">Total Tips (pool)</t>
  </si>
  <si>
    <t xml:space="preserve">Difference  (should be 0)</t>
  </si>
  <si>
    <t xml:space="preserve">2026-09-27</t>
  </si>
  <si>
    <t xml:space="preserve">Dinner</t>
  </si>
  <si>
    <t xml:space="preserve">S. Thornton</t>
  </si>
  <si>
    <t xml:space="preserve">Priya</t>
  </si>
  <si>
    <t xml:space="preserve">Tomas</t>
  </si>
  <si>
    <t xml:space="preserve">Mara</t>
  </si>
  <si>
    <t xml:space="preserve">Devon</t>
  </si>
  <si>
    <t xml:space="preserve">Sam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</si>
</sst>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0.00%"/>
    <numFmt numFmtId="167" formatCode="0.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3B52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80808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2F3B52"/>
        <bgColor rgb="FF333399"/>
      </patternFill>
    </fill>
    <fill>
      <patternFill patternType="solid">
        <fgColor rgb="FFEDEDE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B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4"/>
      <c r="D4" s="3" t="s">
        <v>3</v>
      </c>
      <c r="E4" s="4"/>
    </row>
    <row r="5" customFormat="false" ht="15" hidden="false" customHeight="false" outlineLevel="0" collapsed="false">
      <c r="A5" s="3" t="s">
        <v>4</v>
      </c>
      <c r="B5" s="4"/>
    </row>
    <row r="7" customFormat="false" ht="15" hidden="false" customHeight="false" outlineLevel="0" collapsed="false">
      <c r="A7" s="5" t="s">
        <v>5</v>
      </c>
      <c r="B7" s="5"/>
      <c r="C7" s="5"/>
      <c r="D7" s="5"/>
      <c r="E7" s="5"/>
    </row>
    <row r="8" customFormat="false" ht="15" hidden="false" customHeight="false" outlineLevel="0" collapsed="false">
      <c r="A8" s="3" t="s">
        <v>6</v>
      </c>
      <c r="B8" s="6"/>
    </row>
    <row r="9" customFormat="false" ht="15" hidden="false" customHeight="false" outlineLevel="0" collapsed="false">
      <c r="A9" s="3" t="s">
        <v>7</v>
      </c>
      <c r="B9" s="6"/>
    </row>
    <row r="10" customFormat="false" ht="15" hidden="false" customHeight="false" outlineLevel="0" collapsed="false">
      <c r="A10" s="3" t="s">
        <v>8</v>
      </c>
      <c r="B10" s="6"/>
    </row>
    <row r="12" customFormat="false" ht="15" hidden="false" customHeight="false" outlineLevel="0" collapsed="false">
      <c r="A12" s="5" t="s">
        <v>9</v>
      </c>
      <c r="B12" s="5"/>
      <c r="C12" s="5"/>
      <c r="D12" s="5"/>
      <c r="E12" s="5"/>
    </row>
    <row r="13" customFormat="false" ht="15" hidden="false" customHeight="false" outlineLevel="0" collapsed="false">
      <c r="A13" s="3" t="s">
        <v>10</v>
      </c>
      <c r="B13" s="6"/>
    </row>
    <row r="14" customFormat="false" ht="15" hidden="false" customHeight="false" outlineLevel="0" collapsed="false">
      <c r="A14" s="3" t="s">
        <v>11</v>
      </c>
      <c r="B14" s="6"/>
    </row>
    <row r="15" customFormat="false" ht="15" hidden="false" customHeight="false" outlineLevel="0" collapsed="false">
      <c r="A15" s="3" t="s">
        <v>12</v>
      </c>
      <c r="B15" s="6"/>
      <c r="C15" s="7" t="s">
        <v>13</v>
      </c>
    </row>
    <row r="16" customFormat="false" ht="15" hidden="false" customHeight="false" outlineLevel="0" collapsed="false">
      <c r="A16" s="8" t="s">
        <v>14</v>
      </c>
      <c r="B16" s="9" t="n">
        <f aca="false">SUM(B13:B15)</f>
        <v>0</v>
      </c>
    </row>
    <row r="18" customFormat="false" ht="15" hidden="false" customHeight="false" outlineLevel="0" collapsed="false">
      <c r="A18" s="5" t="s">
        <v>15</v>
      </c>
      <c r="B18" s="5"/>
      <c r="C18" s="5"/>
      <c r="D18" s="5"/>
      <c r="E18" s="5"/>
    </row>
    <row r="19" customFormat="false" ht="15" hidden="false" customHeight="false" outlineLevel="0" collapsed="false">
      <c r="A19" s="3" t="s">
        <v>16</v>
      </c>
      <c r="B19" s="10" t="n">
        <f aca="false">0.1*B10</f>
        <v>0</v>
      </c>
      <c r="C19" s="7" t="s">
        <v>17</v>
      </c>
    </row>
    <row r="20" customFormat="false" ht="15" hidden="false" customHeight="false" outlineLevel="0" collapsed="false">
      <c r="A20" s="3" t="s">
        <v>18</v>
      </c>
      <c r="B20" s="11" t="n">
        <f aca="false">IF(COUNTA(B23:B24)&gt;=2,0.0225,IF(COUNTA(B23:B24)=1,0.015,0))</f>
        <v>0</v>
      </c>
    </row>
    <row r="21" customFormat="false" ht="15" hidden="false" customHeight="false" outlineLevel="0" collapsed="false">
      <c r="A21" s="8" t="s">
        <v>19</v>
      </c>
      <c r="B21" s="9" t="n">
        <f aca="false">B20*B9</f>
        <v>0</v>
      </c>
    </row>
    <row r="22" customFormat="false" ht="15" hidden="false" customHeight="false" outlineLevel="0" collapsed="false">
      <c r="B22" s="12" t="s">
        <v>20</v>
      </c>
      <c r="C22" s="12" t="s">
        <v>21</v>
      </c>
      <c r="D22" s="12" t="s">
        <v>22</v>
      </c>
    </row>
    <row r="23" customFormat="false" ht="15" hidden="false" customHeight="false" outlineLevel="0" collapsed="false">
      <c r="A23" s="13" t="s">
        <v>23</v>
      </c>
      <c r="B23" s="4"/>
      <c r="C23" s="14"/>
      <c r="D23" s="10" t="n">
        <f aca="false">IF(($C$23+$C$24)&gt;0,$B$21*C23/($C$23+$C$24),0)</f>
        <v>0</v>
      </c>
    </row>
    <row r="24" customFormat="false" ht="15" hidden="false" customHeight="false" outlineLevel="0" collapsed="false">
      <c r="A24" s="13" t="s">
        <v>24</v>
      </c>
      <c r="B24" s="4"/>
      <c r="C24" s="14"/>
      <c r="D24" s="10" t="n">
        <f aca="false">IF(($C$23+$C$24)&gt;0,$B$21*C24/($C$23+$C$24),0)</f>
        <v>0</v>
      </c>
    </row>
    <row r="26" customFormat="false" ht="15" hidden="false" customHeight="false" outlineLevel="0" collapsed="false">
      <c r="A26" s="8" t="s">
        <v>25</v>
      </c>
      <c r="B26" s="9" t="n">
        <f aca="false">B16-B19-B21</f>
        <v>0</v>
      </c>
    </row>
    <row r="27" customFormat="false" ht="15" hidden="false" customHeight="false" outlineLevel="0" collapsed="false">
      <c r="A27" s="7" t="s">
        <v>26</v>
      </c>
    </row>
    <row r="28" customFormat="false" ht="15" hidden="false" customHeight="false" outlineLevel="0" collapsed="false">
      <c r="A28" s="5" t="s">
        <v>27</v>
      </c>
      <c r="B28" s="5"/>
      <c r="C28" s="5"/>
      <c r="D28" s="5"/>
      <c r="E28" s="5"/>
    </row>
    <row r="29" customFormat="false" ht="15" hidden="false" customHeight="false" outlineLevel="0" collapsed="false">
      <c r="A29" s="15" t="s">
        <v>28</v>
      </c>
      <c r="B29" s="15" t="s">
        <v>20</v>
      </c>
      <c r="C29" s="15" t="s">
        <v>21</v>
      </c>
      <c r="D29" s="15" t="s">
        <v>29</v>
      </c>
      <c r="E29" s="15" t="s">
        <v>22</v>
      </c>
    </row>
    <row r="30" customFormat="false" ht="15" hidden="false" customHeight="false" outlineLevel="0" collapsed="false">
      <c r="A30" s="16" t="n">
        <v>1</v>
      </c>
      <c r="B30" s="4"/>
      <c r="C30" s="14"/>
      <c r="D30" s="6"/>
      <c r="E30" s="10" t="n">
        <f aca="false">IF($C$40&gt;0,$B$26*C30/$C$40,0)</f>
        <v>0</v>
      </c>
    </row>
    <row r="31" customFormat="false" ht="15" hidden="false" customHeight="false" outlineLevel="0" collapsed="false">
      <c r="A31" s="16" t="n">
        <v>2</v>
      </c>
      <c r="B31" s="4"/>
      <c r="C31" s="14"/>
      <c r="D31" s="6"/>
      <c r="E31" s="10" t="n">
        <f aca="false">IF($C$40&gt;0,$B$26*C31/$C$40,0)</f>
        <v>0</v>
      </c>
    </row>
    <row r="32" customFormat="false" ht="15" hidden="false" customHeight="false" outlineLevel="0" collapsed="false">
      <c r="A32" s="16" t="n">
        <v>3</v>
      </c>
      <c r="B32" s="4"/>
      <c r="C32" s="14"/>
      <c r="D32" s="6"/>
      <c r="E32" s="10" t="n">
        <f aca="false">IF($C$40&gt;0,$B$26*C32/$C$40,0)</f>
        <v>0</v>
      </c>
    </row>
    <row r="33" customFormat="false" ht="15" hidden="false" customHeight="false" outlineLevel="0" collapsed="false">
      <c r="A33" s="16" t="n">
        <v>4</v>
      </c>
      <c r="B33" s="4"/>
      <c r="C33" s="14"/>
      <c r="D33" s="6"/>
      <c r="E33" s="10" t="n">
        <f aca="false">IF($C$40&gt;0,$B$26*C33/$C$40,0)</f>
        <v>0</v>
      </c>
    </row>
    <row r="34" customFormat="false" ht="15" hidden="false" customHeight="false" outlineLevel="0" collapsed="false">
      <c r="A34" s="16" t="n">
        <v>5</v>
      </c>
      <c r="B34" s="4"/>
      <c r="C34" s="14"/>
      <c r="D34" s="6"/>
      <c r="E34" s="10" t="n">
        <f aca="false">IF($C$40&gt;0,$B$26*C34/$C$40,0)</f>
        <v>0</v>
      </c>
    </row>
    <row r="35" customFormat="false" ht="15" hidden="false" customHeight="false" outlineLevel="0" collapsed="false">
      <c r="A35" s="16" t="n">
        <v>6</v>
      </c>
      <c r="B35" s="4"/>
      <c r="C35" s="14"/>
      <c r="D35" s="6"/>
      <c r="E35" s="10" t="n">
        <f aca="false">IF($C$40&gt;0,$B$26*C35/$C$40,0)</f>
        <v>0</v>
      </c>
    </row>
    <row r="36" customFormat="false" ht="15" hidden="false" customHeight="false" outlineLevel="0" collapsed="false">
      <c r="A36" s="16" t="n">
        <v>7</v>
      </c>
      <c r="B36" s="4"/>
      <c r="C36" s="14"/>
      <c r="D36" s="6"/>
      <c r="E36" s="10" t="n">
        <f aca="false">IF($C$40&gt;0,$B$26*C36/$C$40,0)</f>
        <v>0</v>
      </c>
    </row>
    <row r="37" customFormat="false" ht="15" hidden="false" customHeight="false" outlineLevel="0" collapsed="false">
      <c r="A37" s="16" t="n">
        <v>8</v>
      </c>
      <c r="B37" s="4"/>
      <c r="C37" s="14"/>
      <c r="D37" s="6"/>
      <c r="E37" s="10" t="n">
        <f aca="false">IF($C$40&gt;0,$B$26*C37/$C$40,0)</f>
        <v>0</v>
      </c>
    </row>
    <row r="38" customFormat="false" ht="15" hidden="false" customHeight="false" outlineLevel="0" collapsed="false">
      <c r="A38" s="16" t="n">
        <v>9</v>
      </c>
      <c r="B38" s="4"/>
      <c r="C38" s="14"/>
      <c r="D38" s="6"/>
      <c r="E38" s="10" t="n">
        <f aca="false">IF($C$40&gt;0,$B$26*C38/$C$40,0)</f>
        <v>0</v>
      </c>
    </row>
    <row r="39" customFormat="false" ht="15" hidden="false" customHeight="false" outlineLevel="0" collapsed="false">
      <c r="A39" s="16" t="n">
        <v>10</v>
      </c>
      <c r="B39" s="4"/>
      <c r="C39" s="14"/>
      <c r="D39" s="6"/>
      <c r="E39" s="10" t="n">
        <f aca="false">IF($C$40&gt;0,$B$26*C39/$C$40,0)</f>
        <v>0</v>
      </c>
    </row>
    <row r="40" customFormat="false" ht="15" hidden="false" customHeight="false" outlineLevel="0" collapsed="false">
      <c r="A40" s="8" t="s">
        <v>30</v>
      </c>
      <c r="C40" s="17" t="n">
        <f aca="false">SUM(C30:C39)</f>
        <v>0</v>
      </c>
      <c r="E40" s="9" t="n">
        <f aca="false">SUM(E30:E39)</f>
        <v>0</v>
      </c>
    </row>
    <row r="42" customFormat="false" ht="15" hidden="false" customHeight="false" outlineLevel="0" collapsed="false">
      <c r="A42" s="5" t="s">
        <v>31</v>
      </c>
      <c r="B42" s="5"/>
      <c r="C42" s="5"/>
      <c r="D42" s="5"/>
      <c r="E42" s="5"/>
    </row>
    <row r="43" customFormat="false" ht="15" hidden="false" customHeight="false" outlineLevel="0" collapsed="false">
      <c r="A43" s="3" t="s">
        <v>32</v>
      </c>
      <c r="B43" s="10" t="n">
        <f aca="false">B19+B21+E40</f>
        <v>0</v>
      </c>
    </row>
    <row r="44" customFormat="false" ht="15" hidden="false" customHeight="false" outlineLevel="0" collapsed="false">
      <c r="A44" s="3" t="s">
        <v>33</v>
      </c>
      <c r="B44" s="10" t="n">
        <f aca="false">B16</f>
        <v>0</v>
      </c>
    </row>
    <row r="45" customFormat="false" ht="15" hidden="false" customHeight="false" outlineLevel="0" collapsed="false">
      <c r="A45" s="8" t="s">
        <v>34</v>
      </c>
      <c r="B45" s="9" t="n">
        <f aca="false">B43-B44</f>
        <v>0</v>
      </c>
    </row>
    <row r="46" customFormat="false" ht="15" hidden="false" customHeight="false" outlineLevel="0" collapsed="false">
      <c r="A46" s="18" t="str">
        <f aca="false">IF(B26&lt;0,"DUE BACK: tips don't cover tip-out — settle "&amp;TEXT(-B26,"$#,##0.00")&amp;" from cash","")</f>
        <v/>
      </c>
      <c r="B46" s="18"/>
      <c r="C46" s="18"/>
      <c r="D46" s="18"/>
      <c r="E46" s="18"/>
    </row>
  </sheetData>
  <mergeCells count="8">
    <mergeCell ref="A1:E1"/>
    <mergeCell ref="A2:E2"/>
    <mergeCell ref="A7:E7"/>
    <mergeCell ref="A12:E12"/>
    <mergeCell ref="A18:E18"/>
    <mergeCell ref="A28:E28"/>
    <mergeCell ref="A42:E42"/>
    <mergeCell ref="A46:E46"/>
  </mergeCells>
  <dataValidations count="1">
    <dataValidation allowBlank="true" errorStyle="stop" operator="between" showDropDown="false" showErrorMessage="false" showInputMessage="false" sqref="E4" type="list">
      <formula1>"Lunch,Dinner"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4" t="s">
        <v>35</v>
      </c>
      <c r="D4" s="3" t="s">
        <v>3</v>
      </c>
      <c r="E4" s="4" t="s">
        <v>36</v>
      </c>
    </row>
    <row r="5" customFormat="false" ht="15" hidden="false" customHeight="false" outlineLevel="0" collapsed="false">
      <c r="A5" s="3" t="s">
        <v>4</v>
      </c>
      <c r="B5" s="4" t="s">
        <v>37</v>
      </c>
    </row>
    <row r="7" customFormat="false" ht="15" hidden="false" customHeight="false" outlineLevel="0" collapsed="false">
      <c r="A7" s="5" t="s">
        <v>5</v>
      </c>
      <c r="B7" s="5"/>
      <c r="C7" s="5"/>
      <c r="D7" s="5"/>
      <c r="E7" s="5"/>
    </row>
    <row r="8" customFormat="false" ht="15" hidden="false" customHeight="false" outlineLevel="0" collapsed="false">
      <c r="A8" s="3" t="s">
        <v>6</v>
      </c>
      <c r="B8" s="6" t="n">
        <v>0</v>
      </c>
    </row>
    <row r="9" customFormat="false" ht="15" hidden="false" customHeight="false" outlineLevel="0" collapsed="false">
      <c r="A9" s="3" t="s">
        <v>7</v>
      </c>
      <c r="B9" s="6" t="n">
        <v>9500</v>
      </c>
    </row>
    <row r="10" customFormat="false" ht="15" hidden="false" customHeight="false" outlineLevel="0" collapsed="false">
      <c r="A10" s="3" t="s">
        <v>8</v>
      </c>
      <c r="B10" s="6" t="n">
        <v>4200</v>
      </c>
    </row>
    <row r="12" customFormat="false" ht="15" hidden="false" customHeight="false" outlineLevel="0" collapsed="false">
      <c r="A12" s="5" t="s">
        <v>9</v>
      </c>
      <c r="B12" s="5"/>
      <c r="C12" s="5"/>
      <c r="D12" s="5"/>
      <c r="E12" s="5"/>
    </row>
    <row r="13" customFormat="false" ht="15" hidden="false" customHeight="false" outlineLevel="0" collapsed="false">
      <c r="A13" s="3" t="s">
        <v>10</v>
      </c>
      <c r="B13" s="6" t="n">
        <v>0</v>
      </c>
    </row>
    <row r="14" customFormat="false" ht="15" hidden="false" customHeight="false" outlineLevel="0" collapsed="false">
      <c r="A14" s="3" t="s">
        <v>11</v>
      </c>
      <c r="B14" s="6" t="n">
        <v>1800</v>
      </c>
    </row>
    <row r="15" customFormat="false" ht="15" hidden="false" customHeight="false" outlineLevel="0" collapsed="false">
      <c r="A15" s="3" t="s">
        <v>12</v>
      </c>
      <c r="B15" s="6" t="n">
        <v>0</v>
      </c>
      <c r="C15" s="7" t="s">
        <v>13</v>
      </c>
    </row>
    <row r="16" customFormat="false" ht="15" hidden="false" customHeight="false" outlineLevel="0" collapsed="false">
      <c r="A16" s="8" t="s">
        <v>14</v>
      </c>
      <c r="B16" s="9" t="n">
        <f aca="false">SUM(B13:B15)</f>
        <v>1800</v>
      </c>
    </row>
    <row r="18" customFormat="false" ht="15" hidden="false" customHeight="false" outlineLevel="0" collapsed="false">
      <c r="A18" s="5" t="s">
        <v>15</v>
      </c>
      <c r="B18" s="5"/>
      <c r="C18" s="5"/>
      <c r="D18" s="5"/>
      <c r="E18" s="5"/>
    </row>
    <row r="19" customFormat="false" ht="15" hidden="false" customHeight="false" outlineLevel="0" collapsed="false">
      <c r="A19" s="3" t="s">
        <v>16</v>
      </c>
      <c r="B19" s="10" t="n">
        <f aca="false">0.1*B10</f>
        <v>420</v>
      </c>
      <c r="C19" s="7" t="s">
        <v>17</v>
      </c>
    </row>
    <row r="20" customFormat="false" ht="15" hidden="false" customHeight="false" outlineLevel="0" collapsed="false">
      <c r="A20" s="3" t="s">
        <v>18</v>
      </c>
      <c r="B20" s="11" t="n">
        <f aca="false">IF(COUNTA(B23:B24)&gt;=2,0.0225,IF(COUNTA(B23:B24)=1,0.015,0))</f>
        <v>0.0225</v>
      </c>
    </row>
    <row r="21" customFormat="false" ht="15" hidden="false" customHeight="false" outlineLevel="0" collapsed="false">
      <c r="A21" s="8" t="s">
        <v>19</v>
      </c>
      <c r="B21" s="9" t="n">
        <f aca="false">B20*B9</f>
        <v>213.75</v>
      </c>
    </row>
    <row r="22" customFormat="false" ht="15" hidden="false" customHeight="false" outlineLevel="0" collapsed="false">
      <c r="B22" s="12" t="s">
        <v>20</v>
      </c>
      <c r="C22" s="12" t="s">
        <v>21</v>
      </c>
      <c r="D22" s="12" t="s">
        <v>22</v>
      </c>
    </row>
    <row r="23" customFormat="false" ht="15" hidden="false" customHeight="false" outlineLevel="0" collapsed="false">
      <c r="A23" s="13" t="s">
        <v>23</v>
      </c>
      <c r="B23" s="4" t="s">
        <v>38</v>
      </c>
      <c r="C23" s="14" t="n">
        <v>5</v>
      </c>
      <c r="D23" s="10" t="n">
        <f aca="false">IF(($C$23+$C$24)&gt;0,$B$21*C23/($C$23+$C$24),0)</f>
        <v>118.75</v>
      </c>
    </row>
    <row r="24" customFormat="false" ht="15" hidden="false" customHeight="false" outlineLevel="0" collapsed="false">
      <c r="A24" s="13" t="s">
        <v>24</v>
      </c>
      <c r="B24" s="4" t="s">
        <v>39</v>
      </c>
      <c r="C24" s="14" t="n">
        <v>4</v>
      </c>
      <c r="D24" s="10" t="n">
        <f aca="false">IF(($C$23+$C$24)&gt;0,$B$21*C24/($C$23+$C$24),0)</f>
        <v>95</v>
      </c>
    </row>
    <row r="26" customFormat="false" ht="15" hidden="false" customHeight="false" outlineLevel="0" collapsed="false">
      <c r="A26" s="8" t="s">
        <v>25</v>
      </c>
      <c r="B26" s="9" t="n">
        <f aca="false">B16-B19-B21</f>
        <v>1166.25</v>
      </c>
    </row>
    <row r="27" customFormat="false" ht="15" hidden="false" customHeight="false" outlineLevel="0" collapsed="false">
      <c r="A27" s="7" t="s">
        <v>26</v>
      </c>
    </row>
    <row r="28" customFormat="false" ht="15" hidden="false" customHeight="false" outlineLevel="0" collapsed="false">
      <c r="A28" s="5" t="s">
        <v>27</v>
      </c>
      <c r="B28" s="5"/>
      <c r="C28" s="5"/>
      <c r="D28" s="5"/>
      <c r="E28" s="5"/>
    </row>
    <row r="29" customFormat="false" ht="15" hidden="false" customHeight="false" outlineLevel="0" collapsed="false">
      <c r="A29" s="15" t="s">
        <v>28</v>
      </c>
      <c r="B29" s="15" t="s">
        <v>20</v>
      </c>
      <c r="C29" s="15" t="s">
        <v>21</v>
      </c>
      <c r="D29" s="15" t="s">
        <v>29</v>
      </c>
      <c r="E29" s="15" t="s">
        <v>22</v>
      </c>
    </row>
    <row r="30" customFormat="false" ht="15" hidden="false" customHeight="false" outlineLevel="0" collapsed="false">
      <c r="A30" s="16" t="n">
        <v>1</v>
      </c>
      <c r="B30" s="4" t="s">
        <v>40</v>
      </c>
      <c r="C30" s="14" t="n">
        <v>8</v>
      </c>
      <c r="D30" s="6" t="n">
        <v>24</v>
      </c>
      <c r="E30" s="10" t="n">
        <f aca="false">IF($C$40&gt;0,$B$26*C30/$C$40,0)</f>
        <v>491.052631578947</v>
      </c>
    </row>
    <row r="31" customFormat="false" ht="15" hidden="false" customHeight="false" outlineLevel="0" collapsed="false">
      <c r="A31" s="16" t="n">
        <v>2</v>
      </c>
      <c r="B31" s="4" t="s">
        <v>41</v>
      </c>
      <c r="C31" s="14" t="n">
        <v>6</v>
      </c>
      <c r="D31" s="6" t="n">
        <v>20</v>
      </c>
      <c r="E31" s="10" t="n">
        <f aca="false">IF($C$40&gt;0,$B$26*C31/$C$40,0)</f>
        <v>368.289473684211</v>
      </c>
    </row>
    <row r="32" customFormat="false" ht="15" hidden="false" customHeight="false" outlineLevel="0" collapsed="false">
      <c r="A32" s="16" t="n">
        <v>3</v>
      </c>
      <c r="B32" s="4" t="s">
        <v>42</v>
      </c>
      <c r="C32" s="14" t="n">
        <v>5</v>
      </c>
      <c r="D32" s="6" t="n">
        <v>20</v>
      </c>
      <c r="E32" s="10" t="n">
        <f aca="false">IF($C$40&gt;0,$B$26*C32/$C$40,0)</f>
        <v>306.907894736842</v>
      </c>
    </row>
    <row r="33" customFormat="false" ht="15" hidden="false" customHeight="false" outlineLevel="0" collapsed="false">
      <c r="A33" s="16" t="n">
        <v>4</v>
      </c>
      <c r="B33" s="4"/>
      <c r="C33" s="14"/>
      <c r="D33" s="6"/>
      <c r="E33" s="10" t="n">
        <f aca="false">IF($C$40&gt;0,$B$26*C33/$C$40,0)</f>
        <v>0</v>
      </c>
    </row>
    <row r="34" customFormat="false" ht="15" hidden="false" customHeight="false" outlineLevel="0" collapsed="false">
      <c r="A34" s="16" t="n">
        <v>5</v>
      </c>
      <c r="B34" s="4"/>
      <c r="C34" s="14"/>
      <c r="D34" s="6"/>
      <c r="E34" s="10" t="n">
        <f aca="false">IF($C$40&gt;0,$B$26*C34/$C$40,0)</f>
        <v>0</v>
      </c>
    </row>
    <row r="35" customFormat="false" ht="15" hidden="false" customHeight="false" outlineLevel="0" collapsed="false">
      <c r="A35" s="16" t="n">
        <v>6</v>
      </c>
      <c r="B35" s="4"/>
      <c r="C35" s="14"/>
      <c r="D35" s="6"/>
      <c r="E35" s="10" t="n">
        <f aca="false">IF($C$40&gt;0,$B$26*C35/$C$40,0)</f>
        <v>0</v>
      </c>
    </row>
    <row r="36" customFormat="false" ht="15" hidden="false" customHeight="false" outlineLevel="0" collapsed="false">
      <c r="A36" s="16" t="n">
        <v>7</v>
      </c>
      <c r="B36" s="4"/>
      <c r="C36" s="14"/>
      <c r="D36" s="6"/>
      <c r="E36" s="10" t="n">
        <f aca="false">IF($C$40&gt;0,$B$26*C36/$C$40,0)</f>
        <v>0</v>
      </c>
    </row>
    <row r="37" customFormat="false" ht="15" hidden="false" customHeight="false" outlineLevel="0" collapsed="false">
      <c r="A37" s="16" t="n">
        <v>8</v>
      </c>
      <c r="B37" s="4"/>
      <c r="C37" s="14"/>
      <c r="D37" s="6"/>
      <c r="E37" s="10" t="n">
        <f aca="false">IF($C$40&gt;0,$B$26*C37/$C$40,0)</f>
        <v>0</v>
      </c>
    </row>
    <row r="38" customFormat="false" ht="15" hidden="false" customHeight="false" outlineLevel="0" collapsed="false">
      <c r="A38" s="16" t="n">
        <v>9</v>
      </c>
      <c r="B38" s="4"/>
      <c r="C38" s="14"/>
      <c r="D38" s="6"/>
      <c r="E38" s="10" t="n">
        <f aca="false">IF($C$40&gt;0,$B$26*C38/$C$40,0)</f>
        <v>0</v>
      </c>
    </row>
    <row r="39" customFormat="false" ht="15" hidden="false" customHeight="false" outlineLevel="0" collapsed="false">
      <c r="A39" s="16" t="n">
        <v>10</v>
      </c>
      <c r="B39" s="4"/>
      <c r="C39" s="14"/>
      <c r="D39" s="6"/>
      <c r="E39" s="10" t="n">
        <f aca="false">IF($C$40&gt;0,$B$26*C39/$C$40,0)</f>
        <v>0</v>
      </c>
    </row>
    <row r="40" customFormat="false" ht="15" hidden="false" customHeight="false" outlineLevel="0" collapsed="false">
      <c r="A40" s="8" t="s">
        <v>30</v>
      </c>
      <c r="C40" s="17" t="n">
        <f aca="false">SUM(C30:C39)</f>
        <v>19</v>
      </c>
      <c r="E40" s="9" t="n">
        <f aca="false">SUM(E30:E39)</f>
        <v>1166.25</v>
      </c>
    </row>
    <row r="42" customFormat="false" ht="15" hidden="false" customHeight="false" outlineLevel="0" collapsed="false">
      <c r="A42" s="5" t="s">
        <v>31</v>
      </c>
      <c r="B42" s="5"/>
      <c r="C42" s="5"/>
      <c r="D42" s="5"/>
      <c r="E42" s="5"/>
    </row>
    <row r="43" customFormat="false" ht="15" hidden="false" customHeight="false" outlineLevel="0" collapsed="false">
      <c r="A43" s="3" t="s">
        <v>32</v>
      </c>
      <c r="B43" s="10" t="n">
        <f aca="false">B19+B21+E40</f>
        <v>1800</v>
      </c>
    </row>
    <row r="44" customFormat="false" ht="15" hidden="false" customHeight="false" outlineLevel="0" collapsed="false">
      <c r="A44" s="3" t="s">
        <v>33</v>
      </c>
      <c r="B44" s="10" t="n">
        <f aca="false">B16</f>
        <v>1800</v>
      </c>
    </row>
    <row r="45" customFormat="false" ht="15" hidden="false" customHeight="false" outlineLevel="0" collapsed="false">
      <c r="A45" s="8" t="s">
        <v>34</v>
      </c>
      <c r="B45" s="9" t="n">
        <f aca="false">B43-B44</f>
        <v>0</v>
      </c>
    </row>
    <row r="46" customFormat="false" ht="15" hidden="false" customHeight="false" outlineLevel="0" collapsed="false">
      <c r="A46" s="18" t="str">
        <f aca="false">IF(B26&lt;0,"DUE BACK: tips don't cover tip-out — settle "&amp;TEXT(-B26,"$#,##0.00")&amp;" from cash","")</f>
        <v/>
      </c>
      <c r="B46" s="18"/>
      <c r="C46" s="18"/>
      <c r="D46" s="18"/>
      <c r="E46" s="18"/>
    </row>
  </sheetData>
  <mergeCells count="8">
    <mergeCell ref="A1:E1"/>
    <mergeCell ref="A2:E2"/>
    <mergeCell ref="A7:E7"/>
    <mergeCell ref="A12:E12"/>
    <mergeCell ref="A18:E18"/>
    <mergeCell ref="A28:E28"/>
    <mergeCell ref="A42:E42"/>
    <mergeCell ref="A46:E46"/>
  </mergeCells>
  <dataValidations count="1">
    <dataValidation allowBlank="true" errorStyle="stop" operator="between" showDropDown="false" showErrorMessage="false" showInputMessage="false" sqref="E4" type="list">
      <formula1>"Lunch,Dinner"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2026-10-03T19:54:38Z</dcterms:created>
  <dc:creator>openpyxl</dc:creator>
  <dc:description/>
  <dc:language>en-US</dc:language>
  <cp:lastModifiedBy/>
  <dcterms:modified xsi:type="dcterms:W3CDTF">2026-10-03T19:54:38Z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