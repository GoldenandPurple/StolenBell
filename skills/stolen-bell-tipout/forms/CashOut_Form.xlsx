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ash Out" sheetId="1" state="visible" r:id="rId1"/>
    <sheet name="Example (Dinner)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$#,##0.00;&quot;($&quot;#,##0.00\);\-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2F3B52"/>
      <sz val="16"/>
    </font>
    <font>
      <name val="Arial"/>
      <charset val="1"/>
      <family val="0"/>
      <i val="1"/>
      <color rgb="FF808080"/>
      <sz val="9"/>
    </font>
    <font>
      <name val="Arial"/>
      <charset val="1"/>
      <family val="0"/>
      <sz val="11"/>
    </font>
    <font>
      <name val="Arial"/>
      <charset val="1"/>
      <family val="0"/>
      <color rgb="FF0000FF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1"/>
    </font>
    <font>
      <name val="Arial"/>
      <charset val="1"/>
      <family val="0"/>
      <color rgb="FF808080"/>
      <sz val="9"/>
    </font>
    <font>
      <name val="Arial"/>
      <charset val="1"/>
      <family val="0"/>
      <b val="1"/>
      <color rgb="FFC00000"/>
      <sz val="11"/>
    </font>
  </fonts>
  <fills count="5">
    <fill>
      <patternFill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2F3B52"/>
        <bgColor rgb="FF333399"/>
      </patternFill>
    </fill>
    <fill>
      <patternFill patternType="solid">
        <fgColor rgb="FFEDEDED"/>
        <bgColor rgb="FFFFF2C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bottom"/>
    </xf>
    <xf numFmtId="0" fontId="7" fillId="2" borderId="1" applyAlignment="1" pivotButton="0" quotePrefix="0" xfId="0">
      <alignment horizontal="general" vertical="bottom"/>
    </xf>
    <xf numFmtId="0" fontId="8" fillId="3" borderId="0" applyAlignment="1" pivotButton="0" quotePrefix="0" xfId="0">
      <alignment horizontal="left" vertical="center"/>
    </xf>
    <xf numFmtId="164" fontId="7" fillId="2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left" vertical="bottom"/>
    </xf>
    <xf numFmtId="164" fontId="9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10" fontId="6" fillId="0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left" vertical="bottom" indent="1"/>
    </xf>
    <xf numFmtId="2" fontId="7" fillId="2" borderId="1" applyAlignment="1" pivotButton="0" quotePrefix="0" xfId="0">
      <alignment horizontal="general" vertical="bottom"/>
    </xf>
    <xf numFmtId="0" fontId="9" fillId="4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2" fontId="9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bottom"/>
    </xf>
    <xf numFmtId="0" fontId="7" fillId="2" borderId="1" applyAlignment="1" pivotButton="0" quotePrefix="0" xfId="0">
      <alignment horizontal="general" vertical="bottom"/>
    </xf>
    <xf numFmtId="0" fontId="8" fillId="3" borderId="0" applyAlignment="1" pivotButton="0" quotePrefix="0" xfId="0">
      <alignment horizontal="left" vertical="center"/>
    </xf>
    <xf numFmtId="164" fontId="7" fillId="2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left" vertical="bottom"/>
    </xf>
    <xf numFmtId="164" fontId="9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10" fontId="6" fillId="0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left" vertical="bottom"/>
    </xf>
    <xf numFmtId="0" fontId="9" fillId="4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left" vertical="bottom" indent="1"/>
    </xf>
    <xf numFmtId="2" fontId="7" fillId="2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bottom" indent="1"/>
    </xf>
    <xf numFmtId="2" fontId="7" fillId="2" borderId="1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2" fontId="9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3B5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4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9" min="1" max="1"/>
    <col width="20" customWidth="1" style="19" min="2" max="2"/>
    <col width="12" customWidth="1" style="19" min="3" max="3"/>
    <col width="16" customWidth="1" style="19" min="4" max="4"/>
    <col width="14" customWidth="1" style="19" min="5" max="5"/>
  </cols>
  <sheetData>
    <row r="1" ht="19.7" customHeight="1" s="20">
      <c r="A1" s="21" t="inlineStr">
        <is>
          <t>STOLEN BELL  —  CASH OUT</t>
        </is>
      </c>
    </row>
    <row r="2" ht="15" customHeight="1" s="20">
      <c r="A2" s="22" t="inlineStr">
        <is>
          <t>One sheet per service period. Fill the yellow cells; everything else calculates.</t>
        </is>
      </c>
    </row>
    <row r="4" ht="15" customHeight="1" s="20">
      <c r="A4" s="23" t="inlineStr">
        <is>
          <t>Date</t>
        </is>
      </c>
      <c r="B4" s="24" t="n"/>
      <c r="D4" s="23" t="inlineStr">
        <is>
          <t>Service</t>
        </is>
      </c>
      <c r="E4" s="24" t="n"/>
    </row>
    <row r="5" ht="15" customHeight="1" s="20">
      <c r="A5" s="23" t="inlineStr">
        <is>
          <t>Completed by</t>
        </is>
      </c>
      <c r="B5" s="24" t="n"/>
    </row>
    <row r="7" ht="15" customHeight="1" s="20">
      <c r="A7" s="25" t="inlineStr">
        <is>
          <t>SALES SUMMARY</t>
        </is>
      </c>
    </row>
    <row r="8" ht="15" customHeight="1" s="20">
      <c r="A8" s="23" t="inlineStr">
        <is>
          <t>Cash Sales</t>
        </is>
      </c>
      <c r="B8" s="26" t="n"/>
    </row>
    <row r="9" ht="15" customHeight="1" s="20">
      <c r="A9" s="23" t="inlineStr">
        <is>
          <t>Total NET Sales</t>
        </is>
      </c>
      <c r="B9" s="26" t="n"/>
    </row>
    <row r="10" ht="15" customHeight="1" s="20">
      <c r="A10" s="23" t="inlineStr">
        <is>
          <t>Gross FOOD Sales</t>
        </is>
      </c>
      <c r="B10" s="26" t="n"/>
    </row>
    <row r="12" ht="15" customHeight="1" s="20">
      <c r="A12" s="25" t="inlineStr">
        <is>
          <t>TIPS</t>
        </is>
      </c>
    </row>
    <row r="13" ht="15" customHeight="1" s="20">
      <c r="A13" s="23" t="inlineStr">
        <is>
          <t>Auto-gratuity</t>
        </is>
      </c>
      <c r="B13" s="26" t="n"/>
    </row>
    <row r="14" ht="15" customHeight="1" s="20">
      <c r="A14" s="23" t="inlineStr">
        <is>
          <t>Card Tips</t>
        </is>
      </c>
      <c r="B14" s="26" t="n"/>
    </row>
    <row r="15" ht="15" customHeight="1" s="20">
      <c r="A15" s="23" t="inlineStr">
        <is>
          <t>Cash Tips</t>
        </is>
      </c>
      <c r="B15" s="26" t="n"/>
      <c r="C15" s="22" t="inlineStr">
        <is>
          <t>count till at 4:00 (Lunch) and at close (Dinner); enter this period's count</t>
        </is>
      </c>
    </row>
    <row r="16" ht="15" customHeight="1" s="20">
      <c r="A16" s="27" t="inlineStr">
        <is>
          <t>Total Tips  (pool)</t>
        </is>
      </c>
      <c r="B16" s="28">
        <f>SUM(B13:B15)</f>
        <v/>
      </c>
    </row>
    <row r="18" ht="15" customHeight="1" s="20">
      <c r="A18" s="25" t="inlineStr">
        <is>
          <t>TIP-OUT  (off the top)</t>
        </is>
      </c>
    </row>
    <row r="19" ht="15" customHeight="1" s="20">
      <c r="A19" s="23" t="inlineStr">
        <is>
          <t>Kitchen — 10% of gross FOOD sales</t>
        </is>
      </c>
      <c r="B19" s="29">
        <f>0.1*B10</f>
        <v/>
      </c>
      <c r="C19" s="22" t="inlineStr">
        <is>
          <t>lump → Chef splits</t>
        </is>
      </c>
    </row>
    <row r="20" ht="15" customHeight="1" s="20">
      <c r="A20" s="23" t="inlineStr">
        <is>
          <t>Support rate  (auto: 1.5% Host or Barback, 2.25% both)</t>
        </is>
      </c>
      <c r="B20" s="30">
        <f>IF(AND(COUNTIFS($E$23:$E$25,"Host",$C$23:$C$25,"&gt;0")&gt;0,COUNTIFS($E$23:$E$25,"Barback",$C$23:$C$25,"&gt;0")&gt;0),0.0225,IF(COUNTIFS($E$23:$E$25,"Host",$C$23:$C$25,"&gt;0")+COUNTIFS($E$23:$E$25,"Barback",$C$23:$C$25,"&gt;0")&gt;0,0.015,0))</f>
        <v/>
      </c>
    </row>
    <row r="21" ht="15" customHeight="1" s="20">
      <c r="A21" s="27" t="inlineStr">
        <is>
          <t>Support total — rate × NET sales</t>
        </is>
      </c>
      <c r="B21" s="28">
        <f>B20*B9</f>
        <v/>
      </c>
    </row>
    <row r="22" ht="15" customHeight="1" s="20">
      <c r="B22" s="31" t="inlineStr">
        <is>
          <t>Name</t>
        </is>
      </c>
      <c r="C22" s="31" t="inlineStr">
        <is>
          <t>Hours</t>
        </is>
      </c>
      <c r="D22" s="31" t="inlineStr">
        <is>
          <t>Payout</t>
        </is>
      </c>
      <c r="E22" s="32" t="inlineStr">
        <is>
          <t>Role</t>
        </is>
      </c>
    </row>
    <row r="23" ht="15" customHeight="1" s="20">
      <c r="A23" s="33" t="inlineStr">
        <is>
          <t>Support 1</t>
        </is>
      </c>
      <c r="B23" s="24" t="n"/>
      <c r="C23" s="34" t="n"/>
      <c r="D23" s="29">
        <f>IF(SUM($C$23:$C$25)&gt;0,$B$21*C23/SUM($C$23:$C$25),0)</f>
        <v/>
      </c>
      <c r="E23" s="35" t="n"/>
    </row>
    <row r="24" ht="15" customHeight="1" s="20">
      <c r="A24" s="33" t="inlineStr">
        <is>
          <t>Support 2  (if any)</t>
        </is>
      </c>
      <c r="B24" s="24" t="n"/>
      <c r="C24" s="34" t="n"/>
      <c r="D24" s="29">
        <f>IF(SUM($C$23:$C$25)&gt;0,$B$21*C24/SUM($C$23:$C$25),0)</f>
        <v/>
      </c>
      <c r="E24" s="35" t="n"/>
    </row>
    <row r="25">
      <c r="A25" s="36" t="inlineStr">
        <is>
          <t>Support 3  (if any)</t>
        </is>
      </c>
      <c r="B25" s="35" t="n"/>
      <c r="C25" s="37" t="n"/>
      <c r="D25" s="38">
        <f>IF(SUM($C$23:$C$25)&gt;0,$B$21*C25/SUM($C$23:$C$25),0)</f>
        <v/>
      </c>
      <c r="E25" s="35" t="n"/>
    </row>
    <row r="26" ht="15" customHeight="1" s="20">
      <c r="A26" s="27" t="inlineStr">
        <is>
          <t>REMAINDER — Total Tips less tip-out</t>
        </is>
      </c>
      <c r="B26" s="28">
        <f>B16-B19-B21</f>
        <v/>
      </c>
    </row>
    <row r="27" ht="15" customHeight="1" s="20">
      <c r="A27" s="22" t="inlineStr">
        <is>
          <t>Bar &amp; Servers: split proportionately by hours worked</t>
        </is>
      </c>
    </row>
    <row r="28" ht="15" customHeight="1" s="20">
      <c r="A28" s="25" t="inlineStr">
        <is>
          <t>BAR &amp; SERVERS</t>
        </is>
      </c>
    </row>
    <row r="29" ht="15" customHeight="1" s="20">
      <c r="A29" s="39" t="inlineStr">
        <is>
          <t>#</t>
        </is>
      </c>
      <c r="B29" s="39" t="inlineStr">
        <is>
          <t>Name</t>
        </is>
      </c>
      <c r="C29" s="39" t="inlineStr">
        <is>
          <t>Hours</t>
        </is>
      </c>
      <c r="D29" s="39" t="inlineStr">
        <is>
          <t>Hourly rate</t>
        </is>
      </c>
      <c r="E29" s="39" t="inlineStr">
        <is>
          <t>Payout</t>
        </is>
      </c>
    </row>
    <row r="30" ht="15" customHeight="1" s="20">
      <c r="A30" s="40" t="n">
        <v>1</v>
      </c>
      <c r="B30" s="24" t="n"/>
      <c r="C30" s="34" t="n"/>
      <c r="D30" s="38">
        <f>IF(AND(C30&gt;0,$C$40&gt;0),$B$26/$C$40,"")</f>
        <v/>
      </c>
      <c r="E30" s="29">
        <f>IF($C$40&gt;0,$B$26*C30/$C$40,0)</f>
        <v/>
      </c>
    </row>
    <row r="31" ht="15" customHeight="1" s="20">
      <c r="A31" s="40" t="n">
        <v>2</v>
      </c>
      <c r="B31" s="24" t="n"/>
      <c r="C31" s="34" t="n"/>
      <c r="D31" s="38">
        <f>IF(AND(C31&gt;0,$C$40&gt;0),$B$26/$C$40,"")</f>
        <v/>
      </c>
      <c r="E31" s="29">
        <f>IF($C$40&gt;0,$B$26*C31/$C$40,0)</f>
        <v/>
      </c>
    </row>
    <row r="32" ht="15" customHeight="1" s="20">
      <c r="A32" s="40" t="n">
        <v>3</v>
      </c>
      <c r="B32" s="24" t="n"/>
      <c r="C32" s="34" t="n"/>
      <c r="D32" s="38">
        <f>IF(AND(C32&gt;0,$C$40&gt;0),$B$26/$C$40,"")</f>
        <v/>
      </c>
      <c r="E32" s="29">
        <f>IF($C$40&gt;0,$B$26*C32/$C$40,0)</f>
        <v/>
      </c>
    </row>
    <row r="33" ht="15" customHeight="1" s="20">
      <c r="A33" s="40" t="n">
        <v>4</v>
      </c>
      <c r="B33" s="24" t="n"/>
      <c r="C33" s="34" t="n"/>
      <c r="D33" s="38">
        <f>IF(AND(C33&gt;0,$C$40&gt;0),$B$26/$C$40,"")</f>
        <v/>
      </c>
      <c r="E33" s="29">
        <f>IF($C$40&gt;0,$B$26*C33/$C$40,0)</f>
        <v/>
      </c>
    </row>
    <row r="34" ht="15" customHeight="1" s="20">
      <c r="A34" s="40" t="n">
        <v>5</v>
      </c>
      <c r="B34" s="24" t="n"/>
      <c r="C34" s="34" t="n"/>
      <c r="D34" s="38">
        <f>IF(AND(C34&gt;0,$C$40&gt;0),$B$26/$C$40,"")</f>
        <v/>
      </c>
      <c r="E34" s="29">
        <f>IF($C$40&gt;0,$B$26*C34/$C$40,0)</f>
        <v/>
      </c>
    </row>
    <row r="35" ht="15" customHeight="1" s="20">
      <c r="A35" s="40" t="n">
        <v>6</v>
      </c>
      <c r="B35" s="24" t="n"/>
      <c r="C35" s="34" t="n"/>
      <c r="D35" s="38">
        <f>IF(AND(C35&gt;0,$C$40&gt;0),$B$26/$C$40,"")</f>
        <v/>
      </c>
      <c r="E35" s="29">
        <f>IF($C$40&gt;0,$B$26*C35/$C$40,0)</f>
        <v/>
      </c>
    </row>
    <row r="36" ht="15" customHeight="1" s="20">
      <c r="A36" s="40" t="n">
        <v>7</v>
      </c>
      <c r="B36" s="24" t="n"/>
      <c r="C36" s="34" t="n"/>
      <c r="D36" s="38">
        <f>IF(AND(C36&gt;0,$C$40&gt;0),$B$26/$C$40,"")</f>
        <v/>
      </c>
      <c r="E36" s="29">
        <f>IF($C$40&gt;0,$B$26*C36/$C$40,0)</f>
        <v/>
      </c>
    </row>
    <row r="37" ht="15" customHeight="1" s="20">
      <c r="A37" s="40" t="n">
        <v>8</v>
      </c>
      <c r="B37" s="24" t="n"/>
      <c r="C37" s="34" t="n"/>
      <c r="D37" s="38">
        <f>IF(AND(C37&gt;0,$C$40&gt;0),$B$26/$C$40,"")</f>
        <v/>
      </c>
      <c r="E37" s="29">
        <f>IF($C$40&gt;0,$B$26*C37/$C$40,0)</f>
        <v/>
      </c>
    </row>
    <row r="38" ht="15" customHeight="1" s="20">
      <c r="A38" s="40" t="n">
        <v>9</v>
      </c>
      <c r="B38" s="24" t="n"/>
      <c r="C38" s="34" t="n"/>
      <c r="D38" s="38">
        <f>IF(AND(C38&gt;0,$C$40&gt;0),$B$26/$C$40,"")</f>
        <v/>
      </c>
      <c r="E38" s="29">
        <f>IF($C$40&gt;0,$B$26*C38/$C$40,0)</f>
        <v/>
      </c>
    </row>
    <row r="39" ht="15" customHeight="1" s="20">
      <c r="A39" s="40" t="n">
        <v>10</v>
      </c>
      <c r="B39" s="24" t="n"/>
      <c r="C39" s="34" t="n"/>
      <c r="D39" s="38">
        <f>IF(AND(C39&gt;0,$C$40&gt;0),$B$26/$C$40,"")</f>
        <v/>
      </c>
      <c r="E39" s="29">
        <f>IF($C$40&gt;0,$B$26*C39/$C$40,0)</f>
        <v/>
      </c>
    </row>
    <row r="40" ht="15" customHeight="1" s="20">
      <c r="A40" s="27" t="inlineStr">
        <is>
          <t>Total Hours</t>
        </is>
      </c>
      <c r="C40" s="41">
        <f>SUM(C30:C39)</f>
        <v/>
      </c>
      <c r="E40" s="28">
        <f>SUM(E30:E39)</f>
        <v/>
      </c>
    </row>
    <row r="42" ht="15" customHeight="1" s="20">
      <c r="A42" s="25" t="inlineStr">
        <is>
          <t>CHECK</t>
        </is>
      </c>
    </row>
    <row r="43" ht="15" customHeight="1" s="20">
      <c r="A43" s="23" t="inlineStr">
        <is>
          <t>Kitchen + Support + Bar/Servers</t>
        </is>
      </c>
      <c r="B43" s="29">
        <f>B19+B21+E40</f>
        <v/>
      </c>
    </row>
    <row r="44" ht="15" customHeight="1" s="20">
      <c r="A44" s="23" t="inlineStr">
        <is>
          <t>Total Tips (pool)</t>
        </is>
      </c>
      <c r="B44" s="29">
        <f>B16</f>
        <v/>
      </c>
    </row>
    <row r="45" ht="15" customHeight="1" s="20">
      <c r="A45" s="27" t="inlineStr">
        <is>
          <t>Difference  (should be 0)</t>
        </is>
      </c>
      <c r="B45" s="28">
        <f>B43-B44</f>
        <v/>
      </c>
    </row>
    <row r="46" ht="15" customHeight="1" s="20">
      <c r="A46" s="42">
        <f>IF(B26&lt;0,"DUE BACK: tips don't cover tip-out — settle "&amp;TEXT(-B26,"$#,##0.00")&amp;" from cash","")</f>
        <v/>
      </c>
    </row>
  </sheetData>
  <mergeCells count="8">
    <mergeCell ref="A12:E12"/>
    <mergeCell ref="A2:E2"/>
    <mergeCell ref="A7:E7"/>
    <mergeCell ref="A28:E28"/>
    <mergeCell ref="A42:E42"/>
    <mergeCell ref="A1:E1"/>
    <mergeCell ref="A46:E46"/>
    <mergeCell ref="A18:E18"/>
  </mergeCells>
  <dataValidations count="2">
    <dataValidation sqref="E4" showDropDown="0" showInputMessage="0" showErrorMessage="0" allowBlank="1" type="list" errorStyle="stop" operator="between">
      <formula1>"Lunch,Dinner"</formula1>
      <formula2>0</formula2>
    </dataValidation>
    <dataValidation sqref="E23:E25" showDropDown="0" showInputMessage="0" showErrorMessage="0" allowBlank="1" type="list">
      <formula1>"Host,Barback"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9" min="1" max="1"/>
    <col width="20" customWidth="1" style="19" min="2" max="2"/>
    <col width="12" customWidth="1" style="19" min="3" max="3"/>
    <col width="16" customWidth="1" style="19" min="4" max="4"/>
    <col width="14" customWidth="1" style="19" min="5" max="5"/>
  </cols>
  <sheetData>
    <row r="1" ht="19.7" customHeight="1" s="20">
      <c r="A1" s="21" t="inlineStr">
        <is>
          <t>STOLEN BELL  —  CASH OUT</t>
        </is>
      </c>
    </row>
    <row r="2" ht="15" customHeight="1" s="20">
      <c r="A2" s="22" t="inlineStr">
        <is>
          <t>One sheet per service period. Fill the yellow cells; everything else calculates.</t>
        </is>
      </c>
    </row>
    <row r="4" ht="15" customHeight="1" s="20">
      <c r="A4" s="23" t="inlineStr">
        <is>
          <t>Date</t>
        </is>
      </c>
      <c r="B4" s="24" t="inlineStr">
        <is>
          <t>2026-09-27</t>
        </is>
      </c>
      <c r="D4" s="23" t="inlineStr">
        <is>
          <t>Service</t>
        </is>
      </c>
      <c r="E4" s="24" t="inlineStr">
        <is>
          <t>Dinner</t>
        </is>
      </c>
    </row>
    <row r="5" ht="15" customHeight="1" s="20">
      <c r="A5" s="23" t="inlineStr">
        <is>
          <t>Completed by</t>
        </is>
      </c>
      <c r="B5" s="24" t="inlineStr">
        <is>
          <t>S. Thornton</t>
        </is>
      </c>
    </row>
    <row r="7" ht="15" customHeight="1" s="20">
      <c r="A7" s="25" t="inlineStr">
        <is>
          <t>SALES SUMMARY</t>
        </is>
      </c>
    </row>
    <row r="8" ht="15" customHeight="1" s="20">
      <c r="A8" s="23" t="inlineStr">
        <is>
          <t>Cash Sales</t>
        </is>
      </c>
      <c r="B8" s="26" t="n">
        <v>0</v>
      </c>
    </row>
    <row r="9" ht="15" customHeight="1" s="20">
      <c r="A9" s="23" t="inlineStr">
        <is>
          <t>Total NET Sales</t>
        </is>
      </c>
      <c r="B9" s="26" t="n">
        <v>9500</v>
      </c>
    </row>
    <row r="10" ht="15" customHeight="1" s="20">
      <c r="A10" s="23" t="inlineStr">
        <is>
          <t>Gross FOOD Sales</t>
        </is>
      </c>
      <c r="B10" s="26" t="n">
        <v>4200</v>
      </c>
    </row>
    <row r="12" ht="15" customHeight="1" s="20">
      <c r="A12" s="25" t="inlineStr">
        <is>
          <t>TIPS</t>
        </is>
      </c>
    </row>
    <row r="13" ht="15" customHeight="1" s="20">
      <c r="A13" s="23" t="inlineStr">
        <is>
          <t>Auto-gratuity</t>
        </is>
      </c>
      <c r="B13" s="26" t="n">
        <v>0</v>
      </c>
    </row>
    <row r="14" ht="15" customHeight="1" s="20">
      <c r="A14" s="23" t="inlineStr">
        <is>
          <t>Card Tips</t>
        </is>
      </c>
      <c r="B14" s="26" t="n">
        <v>1800</v>
      </c>
    </row>
    <row r="15" ht="15" customHeight="1" s="20">
      <c r="A15" s="23" t="inlineStr">
        <is>
          <t>Cash Tips</t>
        </is>
      </c>
      <c r="B15" s="26" t="n">
        <v>0</v>
      </c>
      <c r="C15" s="22" t="inlineStr">
        <is>
          <t>count till at 4:00 (Lunch) and at close (Dinner); enter this period's count</t>
        </is>
      </c>
    </row>
    <row r="16" ht="15" customHeight="1" s="20">
      <c r="A16" s="27" t="inlineStr">
        <is>
          <t>Total Tips  (pool)</t>
        </is>
      </c>
      <c r="B16" s="28">
        <f>SUM(B13:B15)</f>
        <v/>
      </c>
    </row>
    <row r="18" ht="15" customHeight="1" s="20">
      <c r="A18" s="25" t="inlineStr">
        <is>
          <t>TIP-OUT  (off the top)</t>
        </is>
      </c>
    </row>
    <row r="19" ht="15" customHeight="1" s="20">
      <c r="A19" s="23" t="inlineStr">
        <is>
          <t>Kitchen — 10% of gross FOOD sales</t>
        </is>
      </c>
      <c r="B19" s="29">
        <f>0.1*B10</f>
        <v/>
      </c>
      <c r="C19" s="22" t="inlineStr">
        <is>
          <t>lump → Chef splits</t>
        </is>
      </c>
    </row>
    <row r="20" ht="15" customHeight="1" s="20">
      <c r="A20" s="23" t="inlineStr">
        <is>
          <t>Support rate  (auto: 1.5% Host or Barback, 2.25% both)</t>
        </is>
      </c>
      <c r="B20" s="30">
        <f>IF(AND(COUNTIFS($E$23:$E$25,"Host",$C$23:$C$25,"&gt;0")&gt;0,COUNTIFS($E$23:$E$25,"Barback",$C$23:$C$25,"&gt;0")&gt;0),0.0225,IF(COUNTIFS($E$23:$E$25,"Host",$C$23:$C$25,"&gt;0")+COUNTIFS($E$23:$E$25,"Barback",$C$23:$C$25,"&gt;0")&gt;0,0.015,0))</f>
        <v/>
      </c>
    </row>
    <row r="21" ht="15" customHeight="1" s="20">
      <c r="A21" s="27" t="inlineStr">
        <is>
          <t>Support total — rate × NET sales</t>
        </is>
      </c>
      <c r="B21" s="28">
        <f>B20*B9</f>
        <v/>
      </c>
    </row>
    <row r="22" ht="15" customHeight="1" s="20">
      <c r="B22" s="31" t="inlineStr">
        <is>
          <t>Name</t>
        </is>
      </c>
      <c r="C22" s="31" t="inlineStr">
        <is>
          <t>Hours</t>
        </is>
      </c>
      <c r="D22" s="31" t="inlineStr">
        <is>
          <t>Payout</t>
        </is>
      </c>
      <c r="E22" s="32" t="inlineStr">
        <is>
          <t>Role</t>
        </is>
      </c>
    </row>
    <row r="23" ht="15" customHeight="1" s="20">
      <c r="A23" s="33" t="inlineStr">
        <is>
          <t>Support 1</t>
        </is>
      </c>
      <c r="B23" s="24" t="inlineStr">
        <is>
          <t>Priya</t>
        </is>
      </c>
      <c r="C23" s="34" t="n">
        <v>5</v>
      </c>
      <c r="D23" s="29">
        <f>IF(SUM($C$23:$C$25)&gt;0,$B$21*C23/SUM($C$23:$C$25),0)</f>
        <v/>
      </c>
      <c r="E23" s="35" t="inlineStr">
        <is>
          <t>Host</t>
        </is>
      </c>
    </row>
    <row r="24" ht="15" customHeight="1" s="20">
      <c r="A24" s="33" t="inlineStr">
        <is>
          <t>Support 2  (if any)</t>
        </is>
      </c>
      <c r="B24" s="24" t="inlineStr">
        <is>
          <t>Tomas</t>
        </is>
      </c>
      <c r="C24" s="34" t="n">
        <v>4</v>
      </c>
      <c r="D24" s="29">
        <f>IF(SUM($C$23:$C$25)&gt;0,$B$21*C24/SUM($C$23:$C$25),0)</f>
        <v/>
      </c>
      <c r="E24" s="35" t="inlineStr">
        <is>
          <t>Barback</t>
        </is>
      </c>
    </row>
    <row r="25">
      <c r="A25" s="36" t="inlineStr">
        <is>
          <t>Support 3  (if any)</t>
        </is>
      </c>
      <c r="B25" s="35" t="n"/>
      <c r="C25" s="37" t="n"/>
      <c r="D25" s="38">
        <f>IF(SUM($C$23:$C$25)&gt;0,$B$21*C25/SUM($C$23:$C$25),0)</f>
        <v/>
      </c>
      <c r="E25" s="35" t="n"/>
    </row>
    <row r="26" ht="15" customHeight="1" s="20">
      <c r="A26" s="27" t="inlineStr">
        <is>
          <t>REMAINDER — Total Tips less tip-out</t>
        </is>
      </c>
      <c r="B26" s="28">
        <f>B16-B19-B21</f>
        <v/>
      </c>
    </row>
    <row r="27" ht="15" customHeight="1" s="20">
      <c r="A27" s="22" t="inlineStr">
        <is>
          <t>Bar &amp; Servers: split proportionately by hours worked</t>
        </is>
      </c>
    </row>
    <row r="28" ht="15" customHeight="1" s="20">
      <c r="A28" s="25" t="inlineStr">
        <is>
          <t>BAR &amp; SERVERS</t>
        </is>
      </c>
    </row>
    <row r="29" ht="15" customHeight="1" s="20">
      <c r="A29" s="39" t="inlineStr">
        <is>
          <t>#</t>
        </is>
      </c>
      <c r="B29" s="39" t="inlineStr">
        <is>
          <t>Name</t>
        </is>
      </c>
      <c r="C29" s="39" t="inlineStr">
        <is>
          <t>Hours</t>
        </is>
      </c>
      <c r="D29" s="39" t="inlineStr">
        <is>
          <t>Hourly rate</t>
        </is>
      </c>
      <c r="E29" s="39" t="inlineStr">
        <is>
          <t>Payout</t>
        </is>
      </c>
    </row>
    <row r="30" ht="15" customHeight="1" s="20">
      <c r="A30" s="40" t="n">
        <v>1</v>
      </c>
      <c r="B30" s="24" t="inlineStr">
        <is>
          <t>Mara</t>
        </is>
      </c>
      <c r="C30" s="34" t="n">
        <v>8</v>
      </c>
      <c r="D30" s="38">
        <f>IF(AND(C30&gt;0,$C$40&gt;0),$B$26/$C$40,"")</f>
        <v/>
      </c>
      <c r="E30" s="29">
        <f>IF($C$40&gt;0,$B$26*C30/$C$40,0)</f>
        <v/>
      </c>
    </row>
    <row r="31" ht="15" customHeight="1" s="20">
      <c r="A31" s="40" t="n">
        <v>2</v>
      </c>
      <c r="B31" s="24" t="inlineStr">
        <is>
          <t>Devon</t>
        </is>
      </c>
      <c r="C31" s="34" t="n">
        <v>6</v>
      </c>
      <c r="D31" s="38">
        <f>IF(AND(C31&gt;0,$C$40&gt;0),$B$26/$C$40,"")</f>
        <v/>
      </c>
      <c r="E31" s="29">
        <f>IF($C$40&gt;0,$B$26*C31/$C$40,0)</f>
        <v/>
      </c>
    </row>
    <row r="32" ht="15" customHeight="1" s="20">
      <c r="A32" s="40" t="n">
        <v>3</v>
      </c>
      <c r="B32" s="24" t="inlineStr">
        <is>
          <t>Sam</t>
        </is>
      </c>
      <c r="C32" s="34" t="n">
        <v>5</v>
      </c>
      <c r="D32" s="38">
        <f>IF(AND(C32&gt;0,$C$40&gt;0),$B$26/$C$40,"")</f>
        <v/>
      </c>
      <c r="E32" s="29">
        <f>IF($C$40&gt;0,$B$26*C32/$C$40,0)</f>
        <v/>
      </c>
    </row>
    <row r="33" ht="15" customHeight="1" s="20">
      <c r="A33" s="40" t="n">
        <v>4</v>
      </c>
      <c r="B33" s="24" t="n"/>
      <c r="C33" s="34" t="n"/>
      <c r="D33" s="38">
        <f>IF(AND(C33&gt;0,$C$40&gt;0),$B$26/$C$40,"")</f>
        <v/>
      </c>
      <c r="E33" s="29">
        <f>IF($C$40&gt;0,$B$26*C33/$C$40,0)</f>
        <v/>
      </c>
    </row>
    <row r="34" ht="15" customHeight="1" s="20">
      <c r="A34" s="40" t="n">
        <v>5</v>
      </c>
      <c r="B34" s="24" t="n"/>
      <c r="C34" s="34" t="n"/>
      <c r="D34" s="38">
        <f>IF(AND(C34&gt;0,$C$40&gt;0),$B$26/$C$40,"")</f>
        <v/>
      </c>
      <c r="E34" s="29">
        <f>IF($C$40&gt;0,$B$26*C34/$C$40,0)</f>
        <v/>
      </c>
    </row>
    <row r="35" ht="15" customHeight="1" s="20">
      <c r="A35" s="40" t="n">
        <v>6</v>
      </c>
      <c r="B35" s="24" t="n"/>
      <c r="C35" s="34" t="n"/>
      <c r="D35" s="38">
        <f>IF(AND(C35&gt;0,$C$40&gt;0),$B$26/$C$40,"")</f>
        <v/>
      </c>
      <c r="E35" s="29">
        <f>IF($C$40&gt;0,$B$26*C35/$C$40,0)</f>
        <v/>
      </c>
    </row>
    <row r="36" ht="15" customHeight="1" s="20">
      <c r="A36" s="40" t="n">
        <v>7</v>
      </c>
      <c r="B36" s="24" t="n"/>
      <c r="C36" s="34" t="n"/>
      <c r="D36" s="38">
        <f>IF(AND(C36&gt;0,$C$40&gt;0),$B$26/$C$40,"")</f>
        <v/>
      </c>
      <c r="E36" s="29">
        <f>IF($C$40&gt;0,$B$26*C36/$C$40,0)</f>
        <v/>
      </c>
    </row>
    <row r="37" ht="15" customHeight="1" s="20">
      <c r="A37" s="40" t="n">
        <v>8</v>
      </c>
      <c r="B37" s="24" t="n"/>
      <c r="C37" s="34" t="n"/>
      <c r="D37" s="38">
        <f>IF(AND(C37&gt;0,$C$40&gt;0),$B$26/$C$40,"")</f>
        <v/>
      </c>
      <c r="E37" s="29">
        <f>IF($C$40&gt;0,$B$26*C37/$C$40,0)</f>
        <v/>
      </c>
    </row>
    <row r="38" ht="15" customHeight="1" s="20">
      <c r="A38" s="40" t="n">
        <v>9</v>
      </c>
      <c r="B38" s="24" t="n"/>
      <c r="C38" s="34" t="n"/>
      <c r="D38" s="38">
        <f>IF(AND(C38&gt;0,$C$40&gt;0),$B$26/$C$40,"")</f>
        <v/>
      </c>
      <c r="E38" s="29">
        <f>IF($C$40&gt;0,$B$26*C38/$C$40,0)</f>
        <v/>
      </c>
    </row>
    <row r="39" ht="15" customHeight="1" s="20">
      <c r="A39" s="40" t="n">
        <v>10</v>
      </c>
      <c r="B39" s="24" t="n"/>
      <c r="C39" s="34" t="n"/>
      <c r="D39" s="38">
        <f>IF(AND(C39&gt;0,$C$40&gt;0),$B$26/$C$40,"")</f>
        <v/>
      </c>
      <c r="E39" s="29">
        <f>IF($C$40&gt;0,$B$26*C39/$C$40,0)</f>
        <v/>
      </c>
    </row>
    <row r="40" ht="15" customHeight="1" s="20">
      <c r="A40" s="27" t="inlineStr">
        <is>
          <t>Total Hours</t>
        </is>
      </c>
      <c r="C40" s="41">
        <f>SUM(C30:C39)</f>
        <v/>
      </c>
      <c r="E40" s="28">
        <f>SUM(E30:E39)</f>
        <v/>
      </c>
    </row>
    <row r="42" ht="15" customHeight="1" s="20">
      <c r="A42" s="25" t="inlineStr">
        <is>
          <t>CHECK</t>
        </is>
      </c>
    </row>
    <row r="43" ht="15" customHeight="1" s="20">
      <c r="A43" s="23" t="inlineStr">
        <is>
          <t>Kitchen + Support + Bar/Servers</t>
        </is>
      </c>
      <c r="B43" s="29">
        <f>B19+B21+E40</f>
        <v/>
      </c>
    </row>
    <row r="44" ht="15" customHeight="1" s="20">
      <c r="A44" s="23" t="inlineStr">
        <is>
          <t>Total Tips (pool)</t>
        </is>
      </c>
      <c r="B44" s="29">
        <f>B16</f>
        <v/>
      </c>
    </row>
    <row r="45" ht="15" customHeight="1" s="20">
      <c r="A45" s="27" t="inlineStr">
        <is>
          <t>Difference  (should be 0)</t>
        </is>
      </c>
      <c r="B45" s="28">
        <f>B43-B44</f>
        <v/>
      </c>
    </row>
    <row r="46" ht="15" customHeight="1" s="20">
      <c r="A46" s="42">
        <f>IF(B26&lt;0,"DUE BACK: tips don't cover tip-out — settle "&amp;TEXT(-B26,"$#,##0.00")&amp;" from cash","")</f>
        <v/>
      </c>
    </row>
  </sheetData>
  <mergeCells count="8">
    <mergeCell ref="A12:E12"/>
    <mergeCell ref="A2:E2"/>
    <mergeCell ref="A7:E7"/>
    <mergeCell ref="A28:E28"/>
    <mergeCell ref="A42:E42"/>
    <mergeCell ref="A1:E1"/>
    <mergeCell ref="A46:E46"/>
    <mergeCell ref="A18:E18"/>
  </mergeCells>
  <dataValidations count="2">
    <dataValidation sqref="E4" showDropDown="0" showInputMessage="0" showErrorMessage="0" allowBlank="1" type="list" errorStyle="stop" operator="between">
      <formula1>"Lunch,Dinner"</formula1>
      <formula2>0</formula2>
    </dataValidation>
    <dataValidation sqref="E23:E25" showDropDown="0" showInputMessage="0" showErrorMessage="0" allowBlank="1" type="list">
      <formula1>"Host,Barback"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2026-10-03T19:54:38Z</dcterms:created>
  <dcterms:modified xsi:type="dcterms:W3CDTF">2026-10-03T20:19:06Z</dcterms:modified>
  <cp:revision>0</cp:revision>
</cp:coreProperties>
</file>